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Traceability Matri" sheetId="1" r:id="rId5"/>
  </sheets>
  <definedNames/>
  <calcPr/>
</workbook>
</file>

<file path=xl/sharedStrings.xml><?xml version="1.0" encoding="utf-8"?>
<sst xmlns="http://schemas.openxmlformats.org/spreadsheetml/2006/main" count="206" uniqueCount="113">
  <si>
    <t>Requirements Traceability Matrix</t>
  </si>
  <si>
    <t>Module</t>
  </si>
  <si>
    <t>Requirement ID</t>
  </si>
  <si>
    <t>Requirement Description</t>
  </si>
  <si>
    <t>Test Scenario ID</t>
  </si>
  <si>
    <t>Test Case ID</t>
  </si>
  <si>
    <t>Status Manual</t>
  </si>
  <si>
    <t>Status Automation</t>
  </si>
  <si>
    <t>Login</t>
  </si>
  <si>
    <t>LG_01</t>
  </si>
  <si>
    <t>User should be able to log in with valid credentials</t>
  </si>
  <si>
    <t>TS_01</t>
  </si>
  <si>
    <t>TC_LP_01</t>
  </si>
  <si>
    <t>Covered</t>
  </si>
  <si>
    <t>LG_02</t>
  </si>
  <si>
    <t>User should not be able to log in with invalid credentials</t>
  </si>
  <si>
    <t>TC_LP_02
TC_LP_03
TC_LP_04</t>
  </si>
  <si>
    <t>LG_03</t>
  </si>
  <si>
    <t>Error message should be displayed for invalid login</t>
  </si>
  <si>
    <t>TS_02</t>
  </si>
  <si>
    <t>TC_LP_10</t>
  </si>
  <si>
    <t>LG_04</t>
  </si>
  <si>
    <t>Login should be blocked for locked users</t>
  </si>
  <si>
    <t>TC_LP_06</t>
  </si>
  <si>
    <t>LG_05</t>
  </si>
  <si>
    <t>Login should not be possible without credentials</t>
  </si>
  <si>
    <t>TC_LP_05</t>
  </si>
  <si>
    <t>LG_06</t>
  </si>
  <si>
    <t>Login form UI should be displayed correctly</t>
  </si>
  <si>
    <t>TC_LP_09</t>
  </si>
  <si>
    <t>Not Covered</t>
  </si>
  <si>
    <t>LG_07</t>
  </si>
  <si>
    <t>Password field should mask entered characters</t>
  </si>
  <si>
    <t>LG_08</t>
  </si>
  <si>
    <t>Login page should support keyboard navigation</t>
  </si>
  <si>
    <t>TS_04</t>
  </si>
  <si>
    <t>TC_LP_21
TC_LP_22</t>
  </si>
  <si>
    <t>LG_09</t>
  </si>
  <si>
    <t>Login page should contain accessible labels for screen readers</t>
  </si>
  <si>
    <t>TC_LP_17</t>
  </si>
  <si>
    <t>LG_10</t>
  </si>
  <si>
    <t>Login page should meet Lighthouse quality thresholds</t>
  </si>
  <si>
    <t>TS_03</t>
  </si>
  <si>
    <t>TC_LP_14
TC_LP_15
TC_LP_16</t>
  </si>
  <si>
    <t>Total Requirements</t>
  </si>
  <si>
    <t>Coverage %</t>
  </si>
  <si>
    <t>Inventory Page</t>
  </si>
  <si>
    <t>INV_01</t>
  </si>
  <si>
    <t>User should be redirected to inventory page after login</t>
  </si>
  <si>
    <t>TC_LP_07</t>
  </si>
  <si>
    <t>INV_02</t>
  </si>
  <si>
    <t>Inventory page should display a list of products</t>
  </si>
  <si>
    <t>TS_07</t>
  </si>
  <si>
    <t>TC_IP_18</t>
  </si>
  <si>
    <t>INV_03</t>
  </si>
  <si>
    <t>Product cards should contain image, name, price, and button</t>
  </si>
  <si>
    <t>TS_08</t>
  </si>
  <si>
    <t>TC_IP_20
TC_IP_21
TC_IP_22
TC_IP_23
TC_IP_24</t>
  </si>
  <si>
    <t>INV_04</t>
  </si>
  <si>
    <t>User should be able to add a product to the cart</t>
  </si>
  <si>
    <t>TS_05</t>
  </si>
  <si>
    <t>TC_IP_01</t>
  </si>
  <si>
    <t>INV_05</t>
  </si>
  <si>
    <t>User should be able to remove a product from the cart</t>
  </si>
  <si>
    <t>TC_IP_02</t>
  </si>
  <si>
    <t>INV_06</t>
  </si>
  <si>
    <t>Inventory page layout should be displayed correctly</t>
  </si>
  <si>
    <t>TC_IP_19</t>
  </si>
  <si>
    <t>INV_07</t>
  </si>
  <si>
    <t>Inventory page should support keyboard navigation</t>
  </si>
  <si>
    <t>TS_09</t>
  </si>
  <si>
    <t>TC_IP_26
TC_IP_27</t>
  </si>
  <si>
    <t>INV_08</t>
  </si>
  <si>
    <t>Inventory page should meet Lighthouse quality thresholds</t>
  </si>
  <si>
    <t>TS_10</t>
  </si>
  <si>
    <t>TC_IP_31
TC_IP_32
TC_IP_33</t>
  </si>
  <si>
    <t>Shopping Cart</t>
  </si>
  <si>
    <t>CART_01</t>
  </si>
  <si>
    <t>User should be able to navigate to the cart page</t>
  </si>
  <si>
    <t>TC_IP_06</t>
  </si>
  <si>
    <t>CART_02</t>
  </si>
  <si>
    <t>Added products should appear in the cart</t>
  </si>
  <si>
    <t>CART_03</t>
  </si>
  <si>
    <t>Cart badge should update product quantity</t>
  </si>
  <si>
    <t>TC_IP_07
TC_IP_08</t>
  </si>
  <si>
    <t>CART_04</t>
  </si>
  <si>
    <t>Empty cart should be displayed correctly</t>
  </si>
  <si>
    <t>Burger Menu</t>
  </si>
  <si>
    <t>MENU_01</t>
  </si>
  <si>
    <t>Burger menu should open and close correctly</t>
  </si>
  <si>
    <t>TS_11</t>
  </si>
  <si>
    <t>LP_01
LP_02
LP_03
LP_04</t>
  </si>
  <si>
    <t>MENU_02</t>
  </si>
  <si>
    <t>User should be able to log out via burger menu</t>
  </si>
  <si>
    <t>LP_03</t>
  </si>
  <si>
    <t>MENU_03</t>
  </si>
  <si>
    <t>Burger menu should be accessible via keyboard</t>
  </si>
  <si>
    <t>TS_12</t>
  </si>
  <si>
    <t>LP_05
LP_06
LP_07
LP_08</t>
  </si>
  <si>
    <t>Footer</t>
  </si>
  <si>
    <t>FT_01</t>
  </si>
  <si>
    <t>Footer should be displayed on all pages</t>
  </si>
  <si>
    <t>TS_13</t>
  </si>
  <si>
    <t>LP_01</t>
  </si>
  <si>
    <t>FT_02</t>
  </si>
  <si>
    <t>Footer links should redirect correctly</t>
  </si>
  <si>
    <t>LP_02
LP_03
LP_04</t>
  </si>
  <si>
    <t>FT_03</t>
  </si>
  <si>
    <t>Footer layout should not break on different viewports</t>
  </si>
  <si>
    <t>LP_05</t>
  </si>
  <si>
    <t>FT_04</t>
  </si>
  <si>
    <t>Footer should be accessible and readable</t>
  </si>
  <si>
    <t>LP_06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</si>
</sst>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Montserrat"/>
    </font>
    <font>
      <sz val="13.0"/>
      <color theme="1"/>
      <name val="Montserrat"/>
    </font>
    <font>
      <sz val="11.0"/>
      <color theme="1"/>
      <name val="Montserrat"/>
    </font>
    <font>
      <sz val="11.0"/>
      <color rgb="FF222222"/>
      <name val="Montserrat"/>
    </font>
    <font>
      <sz val="10.0"/>
      <color theme="1"/>
      <name val="Montserrat"/>
    </font>
    <font>
      <sz val="10.0"/>
      <color rgb="FF222222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vertical="center"/>
    </xf>
    <xf borderId="0" fillId="3" fontId="3" numFmtId="0" xfId="0" applyAlignment="1" applyFill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5" fontId="5" numFmtId="0" xfId="0" applyAlignment="1" applyFill="1" applyFont="1">
      <alignment horizontal="center" vertical="center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vertical="center"/>
    </xf>
    <xf borderId="0" fillId="5" fontId="5" numFmtId="10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7.5"/>
    <col customWidth="1" min="6" max="6" width="14.25"/>
    <col customWidth="1" min="7" max="7" width="19.38"/>
  </cols>
  <sheetData>
    <row r="1">
      <c r="A1" s="1" t="s">
        <v>0</v>
      </c>
      <c r="G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</row>
    <row r="3">
      <c r="A3" s="5" t="s">
        <v>8</v>
      </c>
      <c r="B3" s="5" t="s">
        <v>9</v>
      </c>
      <c r="C3" s="6" t="s">
        <v>10</v>
      </c>
      <c r="D3" s="5" t="s">
        <v>11</v>
      </c>
      <c r="E3" s="7" t="s">
        <v>12</v>
      </c>
      <c r="F3" s="5" t="s">
        <v>13</v>
      </c>
      <c r="G3" s="8" t="s">
        <v>13</v>
      </c>
    </row>
    <row r="4">
      <c r="B4" s="5" t="s">
        <v>14</v>
      </c>
      <c r="C4" s="6" t="s">
        <v>15</v>
      </c>
      <c r="D4" s="5" t="s">
        <v>11</v>
      </c>
      <c r="E4" s="9" t="s">
        <v>16</v>
      </c>
      <c r="F4" s="5" t="s">
        <v>13</v>
      </c>
      <c r="G4" s="8" t="s">
        <v>13</v>
      </c>
    </row>
    <row r="5">
      <c r="B5" s="5" t="s">
        <v>17</v>
      </c>
      <c r="C5" s="6" t="s">
        <v>18</v>
      </c>
      <c r="D5" s="5" t="s">
        <v>19</v>
      </c>
      <c r="E5" s="7" t="s">
        <v>20</v>
      </c>
      <c r="F5" s="5" t="s">
        <v>13</v>
      </c>
      <c r="G5" s="8" t="s">
        <v>13</v>
      </c>
    </row>
    <row r="6">
      <c r="B6" s="5" t="s">
        <v>21</v>
      </c>
      <c r="C6" s="6" t="s">
        <v>22</v>
      </c>
      <c r="D6" s="5" t="s">
        <v>11</v>
      </c>
      <c r="E6" s="7" t="s">
        <v>23</v>
      </c>
      <c r="F6" s="5" t="s">
        <v>13</v>
      </c>
      <c r="G6" s="8" t="s">
        <v>13</v>
      </c>
    </row>
    <row r="7">
      <c r="B7" s="5" t="s">
        <v>24</v>
      </c>
      <c r="C7" s="6" t="s">
        <v>25</v>
      </c>
      <c r="D7" s="5" t="s">
        <v>11</v>
      </c>
      <c r="E7" s="7" t="s">
        <v>26</v>
      </c>
      <c r="F7" s="5" t="s">
        <v>13</v>
      </c>
      <c r="G7" s="8" t="s">
        <v>13</v>
      </c>
    </row>
    <row r="8">
      <c r="B8" s="5" t="s">
        <v>27</v>
      </c>
      <c r="C8" s="6" t="s">
        <v>28</v>
      </c>
      <c r="D8" s="5" t="s">
        <v>19</v>
      </c>
      <c r="E8" s="7" t="s">
        <v>29</v>
      </c>
      <c r="F8" s="5" t="s">
        <v>13</v>
      </c>
      <c r="G8" s="5" t="s">
        <v>30</v>
      </c>
    </row>
    <row r="9">
      <c r="B9" s="5" t="s">
        <v>31</v>
      </c>
      <c r="C9" s="6" t="s">
        <v>32</v>
      </c>
      <c r="D9" s="5" t="s">
        <v>19</v>
      </c>
      <c r="E9" s="7" t="s">
        <v>20</v>
      </c>
      <c r="F9" s="5" t="s">
        <v>13</v>
      </c>
      <c r="G9" s="5" t="s">
        <v>30</v>
      </c>
    </row>
    <row r="10">
      <c r="B10" s="5" t="s">
        <v>33</v>
      </c>
      <c r="C10" s="6" t="s">
        <v>34</v>
      </c>
      <c r="D10" s="5" t="s">
        <v>35</v>
      </c>
      <c r="E10" s="9" t="s">
        <v>36</v>
      </c>
      <c r="F10" s="5" t="s">
        <v>13</v>
      </c>
      <c r="G10" s="5" t="s">
        <v>30</v>
      </c>
    </row>
    <row r="11">
      <c r="B11" s="5" t="s">
        <v>37</v>
      </c>
      <c r="C11" s="6" t="s">
        <v>38</v>
      </c>
      <c r="D11" s="5" t="s">
        <v>35</v>
      </c>
      <c r="E11" s="9" t="s">
        <v>39</v>
      </c>
      <c r="F11" s="5" t="s">
        <v>13</v>
      </c>
      <c r="G11" s="5" t="s">
        <v>30</v>
      </c>
    </row>
    <row r="12">
      <c r="B12" s="5" t="s">
        <v>40</v>
      </c>
      <c r="C12" s="6" t="s">
        <v>41</v>
      </c>
      <c r="D12" s="5" t="s">
        <v>42</v>
      </c>
      <c r="E12" s="9" t="s">
        <v>43</v>
      </c>
      <c r="F12" s="5" t="s">
        <v>13</v>
      </c>
      <c r="G12" s="5" t="s">
        <v>30</v>
      </c>
    </row>
    <row r="13">
      <c r="A13" s="10" t="s">
        <v>44</v>
      </c>
      <c r="C13" s="11" t="s">
        <v>13</v>
      </c>
      <c r="D13" s="10" t="s">
        <v>30</v>
      </c>
      <c r="E13" s="10" t="s">
        <v>45</v>
      </c>
      <c r="G13" s="12"/>
    </row>
    <row r="14">
      <c r="A14" s="11">
        <f>COUNTA(B3:B12)</f>
        <v>10</v>
      </c>
      <c r="C14" s="11">
        <f>COUNTIF(F3:F12 ,"Covered")</f>
        <v>10</v>
      </c>
      <c r="D14" s="11">
        <f>COUNTIF(F3:F12 ,"Not Covered")</f>
        <v>0</v>
      </c>
      <c r="E14" s="13">
        <f> C14/COUNTA(F3:F12)</f>
        <v>1</v>
      </c>
      <c r="G14" s="12"/>
    </row>
    <row r="15">
      <c r="A15" s="5" t="s">
        <v>46</v>
      </c>
      <c r="B15" s="14" t="s">
        <v>47</v>
      </c>
      <c r="C15" s="6" t="s">
        <v>48</v>
      </c>
      <c r="D15" s="5" t="s">
        <v>11</v>
      </c>
      <c r="E15" s="7" t="s">
        <v>49</v>
      </c>
      <c r="F15" s="5" t="s">
        <v>13</v>
      </c>
      <c r="G15" s="8" t="s">
        <v>13</v>
      </c>
    </row>
    <row r="16">
      <c r="B16" s="14" t="s">
        <v>50</v>
      </c>
      <c r="C16" s="6" t="s">
        <v>51</v>
      </c>
      <c r="D16" s="5" t="s">
        <v>52</v>
      </c>
      <c r="E16" s="7" t="s">
        <v>53</v>
      </c>
      <c r="F16" s="5" t="s">
        <v>13</v>
      </c>
      <c r="G16" s="8" t="s">
        <v>13</v>
      </c>
    </row>
    <row r="17">
      <c r="B17" s="14" t="s">
        <v>54</v>
      </c>
      <c r="C17" s="6" t="s">
        <v>55</v>
      </c>
      <c r="D17" s="5" t="s">
        <v>56</v>
      </c>
      <c r="E17" s="9" t="s">
        <v>57</v>
      </c>
      <c r="F17" s="5" t="s">
        <v>13</v>
      </c>
      <c r="G17" s="5" t="s">
        <v>30</v>
      </c>
    </row>
    <row r="18">
      <c r="B18" s="14" t="s">
        <v>58</v>
      </c>
      <c r="C18" s="6" t="s">
        <v>59</v>
      </c>
      <c r="D18" s="5" t="s">
        <v>60</v>
      </c>
      <c r="E18" s="7" t="s">
        <v>61</v>
      </c>
      <c r="F18" s="5" t="s">
        <v>13</v>
      </c>
      <c r="G18" s="8" t="s">
        <v>13</v>
      </c>
    </row>
    <row r="19">
      <c r="B19" s="14" t="s">
        <v>62</v>
      </c>
      <c r="C19" s="6" t="s">
        <v>63</v>
      </c>
      <c r="D19" s="5" t="s">
        <v>60</v>
      </c>
      <c r="E19" s="7" t="s">
        <v>64</v>
      </c>
      <c r="F19" s="5" t="s">
        <v>13</v>
      </c>
      <c r="G19" s="8" t="s">
        <v>13</v>
      </c>
    </row>
    <row r="20">
      <c r="B20" s="14" t="s">
        <v>65</v>
      </c>
      <c r="C20" s="6" t="s">
        <v>66</v>
      </c>
      <c r="D20" s="5" t="s">
        <v>52</v>
      </c>
      <c r="E20" s="7" t="s">
        <v>67</v>
      </c>
      <c r="F20" s="5" t="s">
        <v>13</v>
      </c>
      <c r="G20" s="5" t="s">
        <v>30</v>
      </c>
    </row>
    <row r="21">
      <c r="B21" s="14" t="s">
        <v>68</v>
      </c>
      <c r="C21" s="6" t="s">
        <v>69</v>
      </c>
      <c r="D21" s="5" t="s">
        <v>70</v>
      </c>
      <c r="E21" s="9" t="s">
        <v>71</v>
      </c>
      <c r="F21" s="5" t="s">
        <v>13</v>
      </c>
      <c r="G21" s="5" t="s">
        <v>30</v>
      </c>
    </row>
    <row r="22">
      <c r="B22" s="14" t="s">
        <v>72</v>
      </c>
      <c r="C22" s="6" t="s">
        <v>73</v>
      </c>
      <c r="D22" s="5" t="s">
        <v>74</v>
      </c>
      <c r="E22" s="9" t="s">
        <v>75</v>
      </c>
      <c r="F22" s="5" t="s">
        <v>13</v>
      </c>
      <c r="G22" s="5" t="s">
        <v>30</v>
      </c>
    </row>
    <row r="23">
      <c r="A23" s="10" t="s">
        <v>44</v>
      </c>
      <c r="C23" s="11" t="s">
        <v>13</v>
      </c>
      <c r="D23" s="10" t="s">
        <v>30</v>
      </c>
      <c r="E23" s="10" t="s">
        <v>45</v>
      </c>
      <c r="G23" s="12"/>
    </row>
    <row r="24">
      <c r="A24" s="11">
        <f>COUNTA(B15:B22)</f>
        <v>8</v>
      </c>
      <c r="C24" s="11">
        <f>COUNTIF(F15:F22 ,"Covered")</f>
        <v>8</v>
      </c>
      <c r="D24" s="11">
        <f>COUNTIF(F15:F22 ,"Not Covered")</f>
        <v>0</v>
      </c>
      <c r="E24" s="13">
        <f> C24/COUNTA(F15:F22)</f>
        <v>1</v>
      </c>
      <c r="G24" s="12"/>
    </row>
    <row r="25">
      <c r="A25" s="5" t="s">
        <v>76</v>
      </c>
      <c r="B25" s="14" t="s">
        <v>77</v>
      </c>
      <c r="C25" s="6" t="s">
        <v>78</v>
      </c>
      <c r="D25" s="5" t="s">
        <v>60</v>
      </c>
      <c r="E25" s="9" t="s">
        <v>79</v>
      </c>
      <c r="F25" s="9" t="s">
        <v>13</v>
      </c>
      <c r="G25" s="5" t="s">
        <v>30</v>
      </c>
    </row>
    <row r="26">
      <c r="B26" s="14" t="s">
        <v>80</v>
      </c>
      <c r="C26" s="6" t="s">
        <v>81</v>
      </c>
      <c r="D26" s="5" t="s">
        <v>60</v>
      </c>
      <c r="E26" s="15"/>
      <c r="F26" s="5" t="s">
        <v>30</v>
      </c>
      <c r="G26" s="5" t="s">
        <v>30</v>
      </c>
    </row>
    <row r="27">
      <c r="B27" s="14" t="s">
        <v>82</v>
      </c>
      <c r="C27" s="6" t="s">
        <v>83</v>
      </c>
      <c r="D27" s="5" t="s">
        <v>60</v>
      </c>
      <c r="E27" s="9" t="s">
        <v>84</v>
      </c>
      <c r="F27" s="5" t="s">
        <v>13</v>
      </c>
      <c r="G27" s="5" t="s">
        <v>30</v>
      </c>
    </row>
    <row r="28">
      <c r="B28" s="14" t="s">
        <v>85</v>
      </c>
      <c r="C28" s="6" t="s">
        <v>86</v>
      </c>
      <c r="D28" s="5" t="s">
        <v>60</v>
      </c>
      <c r="E28" s="7" t="s">
        <v>79</v>
      </c>
      <c r="F28" s="9" t="s">
        <v>13</v>
      </c>
      <c r="G28" s="5" t="s">
        <v>30</v>
      </c>
    </row>
    <row r="29">
      <c r="A29" s="10" t="s">
        <v>44</v>
      </c>
      <c r="C29" s="11" t="s">
        <v>13</v>
      </c>
      <c r="D29" s="10" t="s">
        <v>30</v>
      </c>
      <c r="E29" s="10" t="s">
        <v>45</v>
      </c>
      <c r="G29" s="12"/>
    </row>
    <row r="30">
      <c r="A30" s="11">
        <f>COUNTA(B25:B28)</f>
        <v>4</v>
      </c>
      <c r="C30" s="11">
        <f>COUNTIF(F25:F28 ,"Covered")</f>
        <v>3</v>
      </c>
      <c r="D30" s="11">
        <f>COUNTIF(F25:F28 ,"Not Covered")</f>
        <v>1</v>
      </c>
      <c r="E30" s="13">
        <f> C30/COUNTA(F25:F28)</f>
        <v>0.75</v>
      </c>
      <c r="G30" s="12"/>
    </row>
    <row r="31">
      <c r="A31" s="5" t="s">
        <v>87</v>
      </c>
      <c r="B31" s="14" t="s">
        <v>88</v>
      </c>
      <c r="C31" s="6" t="s">
        <v>89</v>
      </c>
      <c r="D31" s="5" t="s">
        <v>90</v>
      </c>
      <c r="E31" s="9" t="s">
        <v>91</v>
      </c>
      <c r="F31" s="9" t="s">
        <v>13</v>
      </c>
      <c r="G31" s="5" t="s">
        <v>30</v>
      </c>
    </row>
    <row r="32">
      <c r="B32" s="14" t="s">
        <v>92</v>
      </c>
      <c r="C32" s="6" t="s">
        <v>93</v>
      </c>
      <c r="D32" s="5" t="s">
        <v>90</v>
      </c>
      <c r="E32" s="7" t="s">
        <v>94</v>
      </c>
      <c r="F32" s="5" t="s">
        <v>13</v>
      </c>
      <c r="G32" s="5" t="s">
        <v>30</v>
      </c>
    </row>
    <row r="33">
      <c r="B33" s="14" t="s">
        <v>95</v>
      </c>
      <c r="C33" s="6" t="s">
        <v>96</v>
      </c>
      <c r="D33" s="5" t="s">
        <v>97</v>
      </c>
      <c r="E33" s="9" t="s">
        <v>98</v>
      </c>
      <c r="F33" s="9" t="s">
        <v>13</v>
      </c>
      <c r="G33" s="5" t="s">
        <v>30</v>
      </c>
    </row>
    <row r="34">
      <c r="A34" s="10" t="s">
        <v>44</v>
      </c>
      <c r="C34" s="11" t="s">
        <v>13</v>
      </c>
      <c r="D34" s="10" t="s">
        <v>30</v>
      </c>
      <c r="E34" s="10" t="s">
        <v>45</v>
      </c>
      <c r="G34" s="12"/>
    </row>
    <row r="35">
      <c r="A35" s="11">
        <f>COUNTA(B31:B33)</f>
        <v>3</v>
      </c>
      <c r="C35" s="11">
        <f>COUNTIF(F31:F33 ,"Covered")</f>
        <v>3</v>
      </c>
      <c r="D35" s="11">
        <f>COUNTIF(F31:F33 ,"Not Covered")</f>
        <v>0</v>
      </c>
      <c r="E35" s="13">
        <f> C35/COUNTA(F31:F33)</f>
        <v>1</v>
      </c>
      <c r="G35" s="12"/>
    </row>
    <row r="36">
      <c r="A36" s="5" t="s">
        <v>99</v>
      </c>
      <c r="B36" s="14" t="s">
        <v>100</v>
      </c>
      <c r="C36" s="6" t="s">
        <v>101</v>
      </c>
      <c r="D36" s="5" t="s">
        <v>102</v>
      </c>
      <c r="E36" s="7" t="s">
        <v>103</v>
      </c>
      <c r="F36" s="5" t="s">
        <v>13</v>
      </c>
      <c r="G36" s="5" t="s">
        <v>30</v>
      </c>
    </row>
    <row r="37">
      <c r="B37" s="14" t="s">
        <v>104</v>
      </c>
      <c r="C37" s="6" t="s">
        <v>105</v>
      </c>
      <c r="D37" s="5" t="s">
        <v>102</v>
      </c>
      <c r="E37" s="9" t="s">
        <v>106</v>
      </c>
      <c r="F37" s="5" t="s">
        <v>13</v>
      </c>
      <c r="G37" s="5" t="s">
        <v>30</v>
      </c>
    </row>
    <row r="38">
      <c r="B38" s="14" t="s">
        <v>107</v>
      </c>
      <c r="C38" s="6" t="s">
        <v>108</v>
      </c>
      <c r="D38" s="5" t="s">
        <v>102</v>
      </c>
      <c r="E38" s="7" t="s">
        <v>109</v>
      </c>
      <c r="F38" s="5" t="s">
        <v>13</v>
      </c>
      <c r="G38" s="5" t="s">
        <v>30</v>
      </c>
    </row>
    <row r="39">
      <c r="B39" s="14" t="s">
        <v>110</v>
      </c>
      <c r="C39" s="6" t="s">
        <v>111</v>
      </c>
      <c r="D39" s="5" t="s">
        <v>102</v>
      </c>
      <c r="E39" s="7" t="s">
        <v>112</v>
      </c>
      <c r="F39" s="5" t="s">
        <v>30</v>
      </c>
      <c r="G39" s="5" t="s">
        <v>30</v>
      </c>
    </row>
    <row r="40">
      <c r="A40" s="10" t="s">
        <v>44</v>
      </c>
      <c r="C40" s="11" t="s">
        <v>13</v>
      </c>
      <c r="D40" s="10" t="s">
        <v>30</v>
      </c>
      <c r="E40" s="10" t="s">
        <v>45</v>
      </c>
      <c r="G40" s="12"/>
    </row>
    <row r="41">
      <c r="A41" s="11">
        <f>COUNTA(B36:B39)</f>
        <v>4</v>
      </c>
      <c r="C41" s="11">
        <f>COUNTIF(F36:F39 ,"Covered")</f>
        <v>3</v>
      </c>
      <c r="D41" s="11">
        <f>COUNTIF(F36:F39 ,"Not Covered")</f>
        <v>1</v>
      </c>
      <c r="E41" s="13">
        <f> C41/COUNTA(F36:F39)</f>
        <v>0.75</v>
      </c>
      <c r="G41" s="12"/>
    </row>
  </sheetData>
  <mergeCells count="26">
    <mergeCell ref="A1:F1"/>
    <mergeCell ref="A3:A12"/>
    <mergeCell ref="A13:B13"/>
    <mergeCell ref="E13:F13"/>
    <mergeCell ref="A14:B14"/>
    <mergeCell ref="E14:F14"/>
    <mergeCell ref="A15:A22"/>
    <mergeCell ref="E29:F29"/>
    <mergeCell ref="E30:F30"/>
    <mergeCell ref="E34:F34"/>
    <mergeCell ref="E35:F35"/>
    <mergeCell ref="E40:F40"/>
    <mergeCell ref="E41:F41"/>
    <mergeCell ref="A31:A33"/>
    <mergeCell ref="A34:B34"/>
    <mergeCell ref="A35:B35"/>
    <mergeCell ref="A36:A39"/>
    <mergeCell ref="A40:B40"/>
    <mergeCell ref="A41:B41"/>
    <mergeCell ref="A23:B23"/>
    <mergeCell ref="E23:F23"/>
    <mergeCell ref="A24:B24"/>
    <mergeCell ref="E24:F24"/>
    <mergeCell ref="A25:A28"/>
    <mergeCell ref="A29:B29"/>
    <mergeCell ref="A30:B30"/>
  </mergeCells>
  <dataValidations>
    <dataValidation type="list" allowBlank="1" showErrorMessage="1" sqref="F3:G12 F15:G22 F25:G28 F31:G33 F36:G39">
      <formula1>"Covered,Not Covered"</formula1>
    </dataValidation>
  </dataValidations>
  <drawing r:id="rId1"/>
</worksheet>
</file>